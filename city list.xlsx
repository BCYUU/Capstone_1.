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90B0\EXCELCNV\1589b5d4-b52c-4ee6-80b0-d4620c827be3\"/>
    </mc:Choice>
  </mc:AlternateContent>
  <xr:revisionPtr revIDLastSave="0" documentId="8_{2C39A68F-8496-449B-B997-1F75F68B651E}" xr6:coauthVersionLast="47" xr6:coauthVersionMax="47" xr10:uidLastSave="{00000000-0000-0000-0000-000000000000}"/>
  <bookViews>
    <workbookView xWindow="-60" yWindow="-60" windowWidth="15480" windowHeight="11640" activeTab="1" xr2:uid="{0739B3FD-5726-4CE9-AA8F-10CAF0014A4F}"/>
  </bookViews>
  <sheets>
    <sheet name="in" sheetId="1" r:id="rId1"/>
    <sheet name="Sheet1" sheetId="2" r:id="rId2"/>
  </sheets>
  <definedNames>
    <definedName name="_xlnm._FilterDatabase" localSheetId="0" hidden="1">in!$A$1:$H$17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H7" i="2"/>
  <c r="I6" i="2"/>
  <c r="H6" i="2"/>
  <c r="I5" i="2"/>
  <c r="H5" i="2"/>
  <c r="I4" i="2"/>
  <c r="H4" i="2"/>
  <c r="I3" i="2"/>
  <c r="H3" i="2"/>
  <c r="I2" i="2"/>
  <c r="H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3" i="1"/>
  <c r="H2" i="1"/>
  <c r="H6" i="1"/>
  <c r="H9" i="1"/>
  <c r="H4" i="1"/>
  <c r="H8" i="1"/>
  <c r="H10" i="1"/>
  <c r="H14" i="1"/>
  <c r="H12" i="1"/>
  <c r="H11" i="1"/>
  <c r="H16" i="1"/>
  <c r="H7" i="1"/>
  <c r="H13" i="1"/>
  <c r="H5" i="1"/>
  <c r="H17" i="1"/>
  <c r="H15" i="1"/>
</calcChain>
</file>

<file path=xl/sharedStrings.xml><?xml version="1.0" encoding="utf-8"?>
<sst xmlns="http://schemas.openxmlformats.org/spreadsheetml/2006/main" count="40" uniqueCount="25">
  <si>
    <t>store_id</t>
  </si>
  <si>
    <t>location</t>
  </si>
  <si>
    <t>transactionCount</t>
  </si>
  <si>
    <t>total</t>
  </si>
  <si>
    <t>salesRank</t>
  </si>
  <si>
    <t>PerPOP Rank</t>
  </si>
  <si>
    <t>population</t>
  </si>
  <si>
    <t>perPOP</t>
  </si>
  <si>
    <t>TransactionperPOP</t>
  </si>
  <si>
    <t>Cape May</t>
  </si>
  <si>
    <t>Morristown</t>
  </si>
  <si>
    <t>Atlantic City</t>
  </si>
  <si>
    <t>Montclair</t>
  </si>
  <si>
    <t>Trenton</t>
  </si>
  <si>
    <t>Hackensack</t>
  </si>
  <si>
    <t>New Brunswick</t>
  </si>
  <si>
    <t>Hoboken</t>
  </si>
  <si>
    <t>Vineland</t>
  </si>
  <si>
    <t>East Orange</t>
  </si>
  <si>
    <t>Passaic</t>
  </si>
  <si>
    <t>Bayonne</t>
  </si>
  <si>
    <t>Clifton</t>
  </si>
  <si>
    <t>Newark</t>
  </si>
  <si>
    <t>Jersey City</t>
  </si>
  <si>
    <t>Paterson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</si>
</sst>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2" fontId="18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Total Revenue</a:t>
            </a:r>
          </a:p>
        </c:rich>
      </c:tx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in!$D$1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B1-4973-BDFE-A94328EAFC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B1-4973-BDFE-A94328EAFC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B1-4973-BDFE-A94328EAFC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B1-4973-BDFE-A94328EAFC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0B1-4973-BDFE-A94328EAFC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B1-4973-BDFE-A94328EAFC6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0B1-4973-BDFE-A94328EAFC6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0B1-4973-BDFE-A94328EAFC6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0B1-4973-BDFE-A94328EAFC6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0B1-4973-BDFE-A94328EAFC6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0B1-4973-BDFE-A94328EAFC6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0B1-4973-BDFE-A94328EAFC6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0B1-4973-BDFE-A94328EAFC6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0B1-4973-BDFE-A94328EAFC6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0B1-4973-BDFE-A94328EAFC6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0B1-4973-BDFE-A94328EAFC60}"/>
              </c:ext>
            </c:extLst>
          </c:dPt>
          <c:cat>
            <c:strRef>
              <c:f>in!$B$2:$B$17</c:f>
              <c:strCache>
                <c:ptCount val="16"/>
                <c:pt idx="0">
                  <c:v>Cape May</c:v>
                </c:pt>
                <c:pt idx="1">
                  <c:v>Morristown</c:v>
                </c:pt>
                <c:pt idx="2">
                  <c:v>Atlantic City</c:v>
                </c:pt>
                <c:pt idx="3">
                  <c:v>Montclair</c:v>
                </c:pt>
                <c:pt idx="4">
                  <c:v>Trenton</c:v>
                </c:pt>
                <c:pt idx="5">
                  <c:v>Hackensack</c:v>
                </c:pt>
                <c:pt idx="6">
                  <c:v>New Brunswick</c:v>
                </c:pt>
                <c:pt idx="7">
                  <c:v>Hoboken</c:v>
                </c:pt>
                <c:pt idx="8">
                  <c:v>Vineland</c:v>
                </c:pt>
                <c:pt idx="9">
                  <c:v>East Orange</c:v>
                </c:pt>
                <c:pt idx="10">
                  <c:v>Passaic</c:v>
                </c:pt>
                <c:pt idx="11">
                  <c:v>Bayonne</c:v>
                </c:pt>
                <c:pt idx="12">
                  <c:v>Clifton</c:v>
                </c:pt>
                <c:pt idx="13">
                  <c:v>Newark</c:v>
                </c:pt>
                <c:pt idx="14">
                  <c:v>Jersey City</c:v>
                </c:pt>
                <c:pt idx="15">
                  <c:v>Paterson</c:v>
                </c:pt>
              </c:strCache>
            </c:strRef>
          </c:cat>
          <c:val>
            <c:numRef>
              <c:f>in!$D$2:$D$17</c:f>
              <c:numCache>
                <c:formatCode>General</c:formatCode>
                <c:ptCount val="16"/>
                <c:pt idx="0">
                  <c:v>285704.59000000003</c:v>
                </c:pt>
                <c:pt idx="1">
                  <c:v>307320.52</c:v>
                </c:pt>
                <c:pt idx="2">
                  <c:v>314513.77</c:v>
                </c:pt>
                <c:pt idx="3">
                  <c:v>261593.2</c:v>
                </c:pt>
                <c:pt idx="4">
                  <c:v>597565.68000000005</c:v>
                </c:pt>
                <c:pt idx="5">
                  <c:v>293676.93</c:v>
                </c:pt>
                <c:pt idx="6">
                  <c:v>311056.42</c:v>
                </c:pt>
                <c:pt idx="7">
                  <c:v>316775.48</c:v>
                </c:pt>
                <c:pt idx="8">
                  <c:v>306326.3</c:v>
                </c:pt>
                <c:pt idx="9">
                  <c:v>299936.24</c:v>
                </c:pt>
                <c:pt idx="10">
                  <c:v>300358.95</c:v>
                </c:pt>
                <c:pt idx="11">
                  <c:v>292353.59000000003</c:v>
                </c:pt>
                <c:pt idx="12">
                  <c:v>301703.77</c:v>
                </c:pt>
                <c:pt idx="13">
                  <c:v>623163.53</c:v>
                </c:pt>
                <c:pt idx="14">
                  <c:v>296244.33</c:v>
                </c:pt>
                <c:pt idx="15">
                  <c:v>67112.570000000007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93-4C84-9D16-B7526BAAFCC0}"/>
            </c:ext>
          </c:extLst>
        </c:ser>
        <c:ser>
          <c:idx val="0"/>
          <c:order val="1"/>
          <c:tx>
            <c:strRef>
              <c:f>in!$C$1</c:f>
              <c:strCache>
                <c:ptCount val="1"/>
                <c:pt idx="0">
                  <c:v>transactionCount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0B1-4973-BDFE-A94328EAFC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0B1-4973-BDFE-A94328EAFC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0B1-4973-BDFE-A94328EAFC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0B1-4973-BDFE-A94328EAFC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0B1-4973-BDFE-A94328EAFC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0B1-4973-BDFE-A94328EAFC6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0B1-4973-BDFE-A94328EAFC6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0B1-4973-BDFE-A94328EAFC6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0B1-4973-BDFE-A94328EAFC6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0B1-4973-BDFE-A94328EAFC6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0B1-4973-BDFE-A94328EAFC6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0B1-4973-BDFE-A94328EAFC6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0B1-4973-BDFE-A94328EAFC6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0B1-4973-BDFE-A94328EAFC6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0B1-4973-BDFE-A94328EAFC6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0B1-4973-BDFE-A94328EAFC60}"/>
              </c:ext>
            </c:extLst>
          </c:dPt>
          <c:cat>
            <c:strRef>
              <c:f>in!$B$2:$B$17</c:f>
              <c:strCache>
                <c:ptCount val="16"/>
                <c:pt idx="0">
                  <c:v>Cape May</c:v>
                </c:pt>
                <c:pt idx="1">
                  <c:v>Morristown</c:v>
                </c:pt>
                <c:pt idx="2">
                  <c:v>Atlantic City</c:v>
                </c:pt>
                <c:pt idx="3">
                  <c:v>Montclair</c:v>
                </c:pt>
                <c:pt idx="4">
                  <c:v>Trenton</c:v>
                </c:pt>
                <c:pt idx="5">
                  <c:v>Hackensack</c:v>
                </c:pt>
                <c:pt idx="6">
                  <c:v>New Brunswick</c:v>
                </c:pt>
                <c:pt idx="7">
                  <c:v>Hoboken</c:v>
                </c:pt>
                <c:pt idx="8">
                  <c:v>Vineland</c:v>
                </c:pt>
                <c:pt idx="9">
                  <c:v>East Orange</c:v>
                </c:pt>
                <c:pt idx="10">
                  <c:v>Passaic</c:v>
                </c:pt>
                <c:pt idx="11">
                  <c:v>Bayonne</c:v>
                </c:pt>
                <c:pt idx="12">
                  <c:v>Clifton</c:v>
                </c:pt>
                <c:pt idx="13">
                  <c:v>Newark</c:v>
                </c:pt>
                <c:pt idx="14">
                  <c:v>Jersey City</c:v>
                </c:pt>
                <c:pt idx="15">
                  <c:v>Paterson</c:v>
                </c:pt>
              </c:strCache>
            </c:strRef>
          </c:cat>
          <c:val>
            <c:numRef>
              <c:f>in!$C$2:$C$17</c:f>
              <c:numCache>
                <c:formatCode>General</c:formatCode>
                <c:ptCount val="16"/>
                <c:pt idx="0">
                  <c:v>2252</c:v>
                </c:pt>
                <c:pt idx="1">
                  <c:v>2258</c:v>
                </c:pt>
                <c:pt idx="2">
                  <c:v>2252</c:v>
                </c:pt>
                <c:pt idx="3">
                  <c:v>2118</c:v>
                </c:pt>
                <c:pt idx="4">
                  <c:v>4294</c:v>
                </c:pt>
                <c:pt idx="5">
                  <c:v>2273</c:v>
                </c:pt>
                <c:pt idx="6">
                  <c:v>2277</c:v>
                </c:pt>
                <c:pt idx="7">
                  <c:v>2250</c:v>
                </c:pt>
                <c:pt idx="8">
                  <c:v>2209</c:v>
                </c:pt>
                <c:pt idx="9">
                  <c:v>2198</c:v>
                </c:pt>
                <c:pt idx="10">
                  <c:v>2163</c:v>
                </c:pt>
                <c:pt idx="11">
                  <c:v>2225</c:v>
                </c:pt>
                <c:pt idx="12">
                  <c:v>2327</c:v>
                </c:pt>
                <c:pt idx="13">
                  <c:v>4443</c:v>
                </c:pt>
                <c:pt idx="14">
                  <c:v>2229</c:v>
                </c:pt>
                <c:pt idx="15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A93-4C84-9D16-B7526BAAF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in!$H$1</c:f>
              <c:strCache>
                <c:ptCount val="1"/>
                <c:pt idx="0">
                  <c:v>perPOP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in!$B$2:$B$17</c:f>
              <c:strCache>
                <c:ptCount val="16"/>
                <c:pt idx="0">
                  <c:v>Cape May</c:v>
                </c:pt>
                <c:pt idx="1">
                  <c:v>Morristown</c:v>
                </c:pt>
                <c:pt idx="2">
                  <c:v>Atlantic City</c:v>
                </c:pt>
                <c:pt idx="3">
                  <c:v>Montclair</c:v>
                </c:pt>
                <c:pt idx="4">
                  <c:v>Trenton</c:v>
                </c:pt>
                <c:pt idx="5">
                  <c:v>Hackensack</c:v>
                </c:pt>
                <c:pt idx="6">
                  <c:v>New Brunswick</c:v>
                </c:pt>
                <c:pt idx="7">
                  <c:v>Hoboken</c:v>
                </c:pt>
                <c:pt idx="8">
                  <c:v>Vineland</c:v>
                </c:pt>
                <c:pt idx="9">
                  <c:v>East Orange</c:v>
                </c:pt>
                <c:pt idx="10">
                  <c:v>Passaic</c:v>
                </c:pt>
                <c:pt idx="11">
                  <c:v>Bayonne</c:v>
                </c:pt>
                <c:pt idx="12">
                  <c:v>Clifton</c:v>
                </c:pt>
                <c:pt idx="13">
                  <c:v>Newark</c:v>
                </c:pt>
                <c:pt idx="14">
                  <c:v>Jersey City</c:v>
                </c:pt>
                <c:pt idx="15">
                  <c:v>Paterson</c:v>
                </c:pt>
              </c:strCache>
            </c:strRef>
          </c:cat>
          <c:val>
            <c:numRef>
              <c:f>in!$H$2:$H$17</c:f>
              <c:numCache>
                <c:formatCode>0.00</c:formatCode>
                <c:ptCount val="16"/>
                <c:pt idx="0">
                  <c:v>105.81651481481482</c:v>
                </c:pt>
                <c:pt idx="1">
                  <c:v>15.366026000000002</c:v>
                </c:pt>
                <c:pt idx="2">
                  <c:v>8.2766781578947377</c:v>
                </c:pt>
                <c:pt idx="3">
                  <c:v>6.8840315789473685</c:v>
                </c:pt>
                <c:pt idx="4">
                  <c:v>6.6396186666666672</c:v>
                </c:pt>
                <c:pt idx="5">
                  <c:v>6.3842810869565216</c:v>
                </c:pt>
                <c:pt idx="6">
                  <c:v>5.655571272727272</c:v>
                </c:pt>
                <c:pt idx="7">
                  <c:v>5.2795913333333333</c:v>
                </c:pt>
                <c:pt idx="8">
                  <c:v>5.1054383333333329</c:v>
                </c:pt>
                <c:pt idx="9">
                  <c:v>4.3469020289855074</c:v>
                </c:pt>
                <c:pt idx="10">
                  <c:v>4.2908421428571426</c:v>
                </c:pt>
                <c:pt idx="11">
                  <c:v>4.1764798571428576</c:v>
                </c:pt>
                <c:pt idx="12">
                  <c:v>3.3899300000000001</c:v>
                </c:pt>
                <c:pt idx="13">
                  <c:v>2.0102049354838711</c:v>
                </c:pt>
                <c:pt idx="14">
                  <c:v>1.0145353767123289</c:v>
                </c:pt>
                <c:pt idx="15">
                  <c:v>0.42209163522012583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C-402A-A56D-BF511B2A5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302919"/>
        <c:axId val="571304967"/>
      </c:barChart>
      <c:catAx>
        <c:axId val="571302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304967"/>
        <c:crossesAt val="0"/>
        <c:auto val="1"/>
        <c:lblAlgn val="ctr"/>
        <c:lblOffset val="100"/>
        <c:noMultiLvlLbl val="0"/>
      </c:catAx>
      <c:valAx>
        <c:axId val="571304967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Dollars Spent Per Person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302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in!$G$1</c:f>
              <c:strCache>
                <c:ptCount val="1"/>
                <c:pt idx="0">
                  <c:v>population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DA-400C-86E5-0F466468A8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DA-400C-86E5-0F466468A8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DA-400C-86E5-0F466468A8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2DA-400C-86E5-0F466468A8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2DA-400C-86E5-0F466468A8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2DA-400C-86E5-0F466468A8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2DA-400C-86E5-0F466468A8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2DA-400C-86E5-0F466468A8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2DA-400C-86E5-0F466468A8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2DA-400C-86E5-0F466468A8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2DA-400C-86E5-0F466468A8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2DA-400C-86E5-0F466468A82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2DA-400C-86E5-0F466468A82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2DA-400C-86E5-0F466468A82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2DA-400C-86E5-0F466468A82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2DA-400C-86E5-0F466468A826}"/>
              </c:ext>
            </c:extLst>
          </c:dPt>
          <c:cat>
            <c:strRef>
              <c:f>in!$B$2:$B$17</c:f>
              <c:strCache>
                <c:ptCount val="16"/>
                <c:pt idx="0">
                  <c:v>Cape May</c:v>
                </c:pt>
                <c:pt idx="1">
                  <c:v>Morristown</c:v>
                </c:pt>
                <c:pt idx="2">
                  <c:v>Atlantic City</c:v>
                </c:pt>
                <c:pt idx="3">
                  <c:v>Montclair</c:v>
                </c:pt>
                <c:pt idx="4">
                  <c:v>Trenton</c:v>
                </c:pt>
                <c:pt idx="5">
                  <c:v>Hackensack</c:v>
                </c:pt>
                <c:pt idx="6">
                  <c:v>New Brunswick</c:v>
                </c:pt>
                <c:pt idx="7">
                  <c:v>Hoboken</c:v>
                </c:pt>
                <c:pt idx="8">
                  <c:v>Vineland</c:v>
                </c:pt>
                <c:pt idx="9">
                  <c:v>East Orange</c:v>
                </c:pt>
                <c:pt idx="10">
                  <c:v>Passaic</c:v>
                </c:pt>
                <c:pt idx="11">
                  <c:v>Bayonne</c:v>
                </c:pt>
                <c:pt idx="12">
                  <c:v>Clifton</c:v>
                </c:pt>
                <c:pt idx="13">
                  <c:v>Newark</c:v>
                </c:pt>
                <c:pt idx="14">
                  <c:v>Jersey City</c:v>
                </c:pt>
                <c:pt idx="15">
                  <c:v>Paterson</c:v>
                </c:pt>
              </c:strCache>
            </c:strRef>
          </c:cat>
          <c:val>
            <c:numRef>
              <c:f>in!$G$2:$G$17</c:f>
              <c:numCache>
                <c:formatCode>#,##0</c:formatCode>
                <c:ptCount val="16"/>
                <c:pt idx="0">
                  <c:v>2700</c:v>
                </c:pt>
                <c:pt idx="1">
                  <c:v>20000</c:v>
                </c:pt>
                <c:pt idx="2">
                  <c:v>38000</c:v>
                </c:pt>
                <c:pt idx="3">
                  <c:v>38000</c:v>
                </c:pt>
                <c:pt idx="4">
                  <c:v>90000</c:v>
                </c:pt>
                <c:pt idx="5">
                  <c:v>46000</c:v>
                </c:pt>
                <c:pt idx="6">
                  <c:v>55000</c:v>
                </c:pt>
                <c:pt idx="7">
                  <c:v>60000</c:v>
                </c:pt>
                <c:pt idx="8">
                  <c:v>60000</c:v>
                </c:pt>
                <c:pt idx="9">
                  <c:v>69000</c:v>
                </c:pt>
                <c:pt idx="10">
                  <c:v>70000</c:v>
                </c:pt>
                <c:pt idx="11">
                  <c:v>70000</c:v>
                </c:pt>
                <c:pt idx="12">
                  <c:v>89000</c:v>
                </c:pt>
                <c:pt idx="13">
                  <c:v>310000</c:v>
                </c:pt>
                <c:pt idx="14">
                  <c:v>292000</c:v>
                </c:pt>
                <c:pt idx="15">
                  <c:v>159000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9-43F3-BAB9-11EB7F708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in!$H$1</c:f>
              <c:strCache>
                <c:ptCount val="1"/>
                <c:pt idx="0">
                  <c:v>perPOP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0B-4ED2-8FF7-57B4890CCC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0B-4ED2-8FF7-57B4890CCC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0B-4ED2-8FF7-57B4890CCC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0B-4ED2-8FF7-57B4890CCC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0B-4ED2-8FF7-57B4890CCC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0B-4ED2-8FF7-57B4890CCC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40B-4ED2-8FF7-57B4890CCC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40B-4ED2-8FF7-57B4890CCC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40B-4ED2-8FF7-57B4890CCC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40B-4ED2-8FF7-57B4890CCC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40B-4ED2-8FF7-57B4890CCC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40B-4ED2-8FF7-57B4890CCCD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40B-4ED2-8FF7-57B4890CCCD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40B-4ED2-8FF7-57B4890CCCD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40B-4ED2-8FF7-57B4890CCCD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40B-4ED2-8FF7-57B4890CCCD9}"/>
              </c:ext>
            </c:extLst>
          </c:dPt>
          <c:cat>
            <c:strRef>
              <c:f>in!$B$2:$B$17</c:f>
              <c:strCache>
                <c:ptCount val="16"/>
                <c:pt idx="0">
                  <c:v>Cape May</c:v>
                </c:pt>
                <c:pt idx="1">
                  <c:v>Morristown</c:v>
                </c:pt>
                <c:pt idx="2">
                  <c:v>Atlantic City</c:v>
                </c:pt>
                <c:pt idx="3">
                  <c:v>Montclair</c:v>
                </c:pt>
                <c:pt idx="4">
                  <c:v>Trenton</c:v>
                </c:pt>
                <c:pt idx="5">
                  <c:v>Hackensack</c:v>
                </c:pt>
                <c:pt idx="6">
                  <c:v>New Brunswick</c:v>
                </c:pt>
                <c:pt idx="7">
                  <c:v>Hoboken</c:v>
                </c:pt>
                <c:pt idx="8">
                  <c:v>Vineland</c:v>
                </c:pt>
                <c:pt idx="9">
                  <c:v>East Orange</c:v>
                </c:pt>
                <c:pt idx="10">
                  <c:v>Passaic</c:v>
                </c:pt>
                <c:pt idx="11">
                  <c:v>Bayonne</c:v>
                </c:pt>
                <c:pt idx="12">
                  <c:v>Clifton</c:v>
                </c:pt>
                <c:pt idx="13">
                  <c:v>Newark</c:v>
                </c:pt>
                <c:pt idx="14">
                  <c:v>Jersey City</c:v>
                </c:pt>
                <c:pt idx="15">
                  <c:v>Paterson</c:v>
                </c:pt>
              </c:strCache>
            </c:strRef>
          </c:cat>
          <c:val>
            <c:numRef>
              <c:f>in!$H$2:$H$17</c:f>
              <c:numCache>
                <c:formatCode>0.00</c:formatCode>
                <c:ptCount val="16"/>
                <c:pt idx="0">
                  <c:v>105.81651481481482</c:v>
                </c:pt>
                <c:pt idx="1">
                  <c:v>15.366026000000002</c:v>
                </c:pt>
                <c:pt idx="2">
                  <c:v>8.2766781578947377</c:v>
                </c:pt>
                <c:pt idx="3">
                  <c:v>6.8840315789473685</c:v>
                </c:pt>
                <c:pt idx="4">
                  <c:v>6.6396186666666672</c:v>
                </c:pt>
                <c:pt idx="5">
                  <c:v>6.3842810869565216</c:v>
                </c:pt>
                <c:pt idx="6">
                  <c:v>5.655571272727272</c:v>
                </c:pt>
                <c:pt idx="7">
                  <c:v>5.2795913333333333</c:v>
                </c:pt>
                <c:pt idx="8">
                  <c:v>5.1054383333333329</c:v>
                </c:pt>
                <c:pt idx="9">
                  <c:v>4.3469020289855074</c:v>
                </c:pt>
                <c:pt idx="10">
                  <c:v>4.2908421428571426</c:v>
                </c:pt>
                <c:pt idx="11">
                  <c:v>4.1764798571428576</c:v>
                </c:pt>
                <c:pt idx="12">
                  <c:v>3.3899300000000001</c:v>
                </c:pt>
                <c:pt idx="13">
                  <c:v>2.0102049354838711</c:v>
                </c:pt>
                <c:pt idx="14">
                  <c:v>1.0145353767123289</c:v>
                </c:pt>
                <c:pt idx="15">
                  <c:v>0.42209163522012583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2-49E1-A2D2-0B7DBE211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Sheet1!$G$1</c:f>
              <c:strCache>
                <c:ptCount val="1"/>
                <c:pt idx="0">
                  <c:v>population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30-481F-897A-CAB78A6988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30-481F-897A-CAB78A6988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30-481F-897A-CAB78A6988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30-481F-897A-CAB78A6988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30-481F-897A-CAB78A6988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930-481F-897A-CAB78A6988DF}"/>
              </c:ext>
            </c:extLst>
          </c:dPt>
          <c:cat>
            <c:strRef>
              <c:f>Sheet1!$B$2:$B$7</c:f>
              <c:strCache>
                <c:ptCount val="6"/>
                <c:pt idx="0">
                  <c:v>Cape May</c:v>
                </c:pt>
                <c:pt idx="1">
                  <c:v>Morristown</c:v>
                </c:pt>
                <c:pt idx="2">
                  <c:v>Atlantic City</c:v>
                </c:pt>
                <c:pt idx="3">
                  <c:v>Newark</c:v>
                </c:pt>
                <c:pt idx="4">
                  <c:v>Jersey City</c:v>
                </c:pt>
                <c:pt idx="5">
                  <c:v>Paterson</c:v>
                </c:pt>
              </c:strCache>
            </c:strRef>
          </c:cat>
          <c:val>
            <c:numRef>
              <c:f>Sheet1!$G$2:$G$7</c:f>
              <c:numCache>
                <c:formatCode>#,##0</c:formatCode>
                <c:ptCount val="6"/>
                <c:pt idx="0">
                  <c:v>2700</c:v>
                </c:pt>
                <c:pt idx="1">
                  <c:v>20000</c:v>
                </c:pt>
                <c:pt idx="2">
                  <c:v>38000</c:v>
                </c:pt>
                <c:pt idx="3">
                  <c:v>310000</c:v>
                </c:pt>
                <c:pt idx="4">
                  <c:v>292000</c:v>
                </c:pt>
                <c:pt idx="5">
                  <c:v>159000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D-4561-B00E-CF677368C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7D-45F6-8927-83B0B11E66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7D-45F6-8927-83B0B11E66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7D-45F6-8927-83B0B11E66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7D-45F6-8927-83B0B11E66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7D-45F6-8927-83B0B11E66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7D-45F6-8927-83B0B11E668F}"/>
              </c:ext>
            </c:extLst>
          </c:dPt>
          <c:cat>
            <c:strRef>
              <c:f>Sheet1!$B$2:$B$7</c:f>
              <c:strCache>
                <c:ptCount val="6"/>
                <c:pt idx="0">
                  <c:v>Cape May</c:v>
                </c:pt>
                <c:pt idx="1">
                  <c:v>Morristown</c:v>
                </c:pt>
                <c:pt idx="2">
                  <c:v>Atlantic City</c:v>
                </c:pt>
                <c:pt idx="3">
                  <c:v>Newark</c:v>
                </c:pt>
                <c:pt idx="4">
                  <c:v>Jersey City</c:v>
                </c:pt>
                <c:pt idx="5">
                  <c:v>Paterson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285704.59000000003</c:v>
                </c:pt>
                <c:pt idx="1">
                  <c:v>307320.52</c:v>
                </c:pt>
                <c:pt idx="2">
                  <c:v>314513.77</c:v>
                </c:pt>
                <c:pt idx="3">
                  <c:v>623163.53</c:v>
                </c:pt>
                <c:pt idx="4">
                  <c:v>296244.33</c:v>
                </c:pt>
                <c:pt idx="5">
                  <c:v>67112.570000000007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9-4D01-B967-44B9BE3BD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Sheet1!$H$1</c:f>
              <c:strCache>
                <c:ptCount val="1"/>
                <c:pt idx="0">
                  <c:v>perPOP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9B-44FC-A1DF-F3F0480618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9B-44FC-A1DF-F3F0480618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9B-44FC-A1DF-F3F0480618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9B-44FC-A1DF-F3F0480618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19B-44FC-A1DF-F3F0480618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19B-44FC-A1DF-F3F048061815}"/>
              </c:ext>
            </c:extLst>
          </c:dPt>
          <c:cat>
            <c:strRef>
              <c:f>Sheet1!$B$2:$B$7</c:f>
              <c:strCache>
                <c:ptCount val="6"/>
                <c:pt idx="0">
                  <c:v>Cape May</c:v>
                </c:pt>
                <c:pt idx="1">
                  <c:v>Morristown</c:v>
                </c:pt>
                <c:pt idx="2">
                  <c:v>Atlantic City</c:v>
                </c:pt>
                <c:pt idx="3">
                  <c:v>Newark</c:v>
                </c:pt>
                <c:pt idx="4">
                  <c:v>Jersey City</c:v>
                </c:pt>
                <c:pt idx="5">
                  <c:v>Paterson</c:v>
                </c:pt>
              </c:strCache>
            </c:strRef>
          </c:cat>
          <c:val>
            <c:numRef>
              <c:f>Sheet1!$H$2:$H$7</c:f>
              <c:numCache>
                <c:formatCode>0.00</c:formatCode>
                <c:ptCount val="6"/>
                <c:pt idx="0">
                  <c:v>105.81651481481482</c:v>
                </c:pt>
                <c:pt idx="1">
                  <c:v>15.366026000000002</c:v>
                </c:pt>
                <c:pt idx="2">
                  <c:v>8.2766781578947377</c:v>
                </c:pt>
                <c:pt idx="3">
                  <c:v>2.0102049354838711</c:v>
                </c:pt>
                <c:pt idx="4">
                  <c:v>1.0145353767123289</c:v>
                </c:pt>
                <c:pt idx="5">
                  <c:v>0.42209163522012583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A-4389-9C9A-4A2E34317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0</xdr:row>
      <xdr:rowOff>0</xdr:rowOff>
    </xdr:from>
    <xdr:to>
      <xdr:col>20</xdr:col>
      <xdr:colOff>552450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5BD455-3AE9-A981-590D-00B6A0591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209550</xdr:colOff>
      <xdr:row>18</xdr:row>
      <xdr:rowOff>152400</xdr:rowOff>
    </xdr:from>
    <xdr:to>
      <xdr:col>21</xdr:col>
      <xdr:colOff>133350</xdr:colOff>
      <xdr:row>39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B935B4-B8DC-8CBA-3D50-F92640F6E399}"/>
            </a:ext>
            <a:ext uri="{147F2762-F138-4A5C-976F-8EAC2B608ADB}">
              <a16:predDERef xmlns:a16="http://schemas.microsoft.com/office/drawing/2014/main" pred="{035BD455-3AE9-A981-590D-00B6A0591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17</xdr:row>
      <xdr:rowOff>47625</xdr:rowOff>
    </xdr:from>
    <xdr:to>
      <xdr:col>5</xdr:col>
      <xdr:colOff>314325</xdr:colOff>
      <xdr:row>35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A2258B-0367-8469-C57F-058DE2B09D4F}"/>
            </a:ext>
            <a:ext uri="{147F2762-F138-4A5C-976F-8EAC2B608ADB}">
              <a16:predDERef xmlns:a16="http://schemas.microsoft.com/office/drawing/2014/main" pred="{15B935B4-B8DC-8CBA-3D50-F92640F6E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190500</xdr:colOff>
      <xdr:row>17</xdr:row>
      <xdr:rowOff>47625</xdr:rowOff>
    </xdr:from>
    <xdr:to>
      <xdr:col>9</xdr:col>
      <xdr:colOff>247650</xdr:colOff>
      <xdr:row>35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ED9231-1097-E77E-7A4F-BFCF280BBA9B}"/>
            </a:ext>
            <a:ext uri="{147F2762-F138-4A5C-976F-8EAC2B608ADB}">
              <a16:predDERef xmlns:a16="http://schemas.microsoft.com/office/drawing/2014/main" pred="{E7A2258B-0367-8469-C57F-058DE2B09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161925</xdr:rowOff>
    </xdr:from>
    <xdr:to>
      <xdr:col>5</xdr:col>
      <xdr:colOff>800100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B384A7-E6A8-3936-6923-AD6E5DC95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771525</xdr:colOff>
      <xdr:row>7</xdr:row>
      <xdr:rowOff>161925</xdr:rowOff>
    </xdr:from>
    <xdr:to>
      <xdr:col>12</xdr:col>
      <xdr:colOff>257175</xdr:colOff>
      <xdr:row>22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361907-2D92-4D39-0C4C-350E1E1C15CD}"/>
            </a:ext>
            <a:ext uri="{147F2762-F138-4A5C-976F-8EAC2B608ADB}">
              <a16:predDERef xmlns:a16="http://schemas.microsoft.com/office/drawing/2014/main" pred="{6AB384A7-E6A8-3936-6923-AD6E5DC95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257175</xdr:colOff>
      <xdr:row>7</xdr:row>
      <xdr:rowOff>161925</xdr:rowOff>
    </xdr:from>
    <xdr:to>
      <xdr:col>19</xdr:col>
      <xdr:colOff>561975</xdr:colOff>
      <xdr:row>22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59353A-669A-C352-EA27-A82362650C36}"/>
            </a:ext>
            <a:ext uri="{147F2762-F138-4A5C-976F-8EAC2B608ADB}">
              <a16:predDERef xmlns:a16="http://schemas.microsoft.com/office/drawing/2014/main" pred="{BF361907-2D92-4D39-0C4C-350E1E1C1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58E7-51C7-4889-8CED-D035EE4F9B7B}">
  <dimension ref="A1:I18"/>
  <sheetViews>
    <sheetView topLeftCell="B6" workbookViewId="0">
      <selection activeCell="H1" activeCellId="1" sqref="B1:B17 H1:H17"/>
    </sheetView>
  </sheetViews>
  <sheetFormatPr defaultRowHeight="15"/>
  <cols>
    <col min="1" max="1" width="10.5703125" bestFit="1" customWidth="1"/>
    <col min="2" max="2" width="14.7109375" bestFit="1" customWidth="1"/>
    <col min="3" max="3" width="18.7109375" bestFit="1" customWidth="1"/>
    <col min="4" max="4" width="10.42578125" bestFit="1" customWidth="1"/>
    <col min="5" max="5" width="12" bestFit="1" customWidth="1"/>
    <col min="6" max="6" width="14.7109375" bestFit="1" customWidth="1"/>
    <col min="7" max="7" width="10.5703125" bestFit="1" customWidth="1"/>
    <col min="8" max="8" width="10" bestFit="1" customWidth="1"/>
    <col min="9" max="9" width="20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826</v>
      </c>
      <c r="B2" t="s">
        <v>9</v>
      </c>
      <c r="C2">
        <v>2252</v>
      </c>
      <c r="D2">
        <v>285704.59000000003</v>
      </c>
      <c r="E2">
        <v>14</v>
      </c>
      <c r="F2">
        <v>1</v>
      </c>
      <c r="G2" s="1">
        <v>2700</v>
      </c>
      <c r="H2" s="2">
        <f>D2/G2</f>
        <v>105.81651481481482</v>
      </c>
      <c r="I2" s="3">
        <f>C2/G2</f>
        <v>0.83407407407407408</v>
      </c>
    </row>
    <row r="3" spans="1:9">
      <c r="A3">
        <v>833</v>
      </c>
      <c r="B3" t="s">
        <v>10</v>
      </c>
      <c r="C3">
        <v>2258</v>
      </c>
      <c r="D3">
        <v>307320.52</v>
      </c>
      <c r="E3">
        <v>6</v>
      </c>
      <c r="F3">
        <v>2</v>
      </c>
      <c r="G3" s="1">
        <v>20000</v>
      </c>
      <c r="H3" s="2">
        <f>D3/G3</f>
        <v>15.366026000000002</v>
      </c>
      <c r="I3" s="3">
        <f t="shared" ref="I3:I17" si="0">C3/G3</f>
        <v>0.1129</v>
      </c>
    </row>
    <row r="4" spans="1:9">
      <c r="A4">
        <v>824</v>
      </c>
      <c r="B4" t="s">
        <v>11</v>
      </c>
      <c r="C4">
        <v>2252</v>
      </c>
      <c r="D4">
        <v>314513.77</v>
      </c>
      <c r="E4">
        <v>4</v>
      </c>
      <c r="F4">
        <v>3</v>
      </c>
      <c r="G4" s="1">
        <v>38000</v>
      </c>
      <c r="H4" s="2">
        <f>D4/G4</f>
        <v>8.2766781578947377</v>
      </c>
      <c r="I4" s="3">
        <f t="shared" si="0"/>
        <v>5.9263157894736844E-2</v>
      </c>
    </row>
    <row r="5" spans="1:9">
      <c r="A5">
        <v>832</v>
      </c>
      <c r="B5" t="s">
        <v>12</v>
      </c>
      <c r="C5">
        <v>2118</v>
      </c>
      <c r="D5">
        <v>261593.2</v>
      </c>
      <c r="E5">
        <v>15</v>
      </c>
      <c r="F5">
        <v>4</v>
      </c>
      <c r="G5" s="1">
        <v>38000</v>
      </c>
      <c r="H5" s="2">
        <f>D5/G5</f>
        <v>6.8840315789473685</v>
      </c>
      <c r="I5" s="3">
        <f t="shared" si="0"/>
        <v>5.5736842105263161E-2</v>
      </c>
    </row>
    <row r="6" spans="1:9">
      <c r="A6">
        <v>838</v>
      </c>
      <c r="B6" t="s">
        <v>13</v>
      </c>
      <c r="C6">
        <v>4294</v>
      </c>
      <c r="D6">
        <v>597565.68000000005</v>
      </c>
      <c r="E6">
        <v>2</v>
      </c>
      <c r="F6">
        <v>5</v>
      </c>
      <c r="G6" s="1">
        <v>90000</v>
      </c>
      <c r="H6" s="2">
        <f>D6/G6</f>
        <v>6.6396186666666672</v>
      </c>
      <c r="I6" s="3">
        <f t="shared" si="0"/>
        <v>4.7711111111111114E-2</v>
      </c>
    </row>
    <row r="7" spans="1:9">
      <c r="A7">
        <v>829</v>
      </c>
      <c r="B7" t="s">
        <v>14</v>
      </c>
      <c r="C7">
        <v>2273</v>
      </c>
      <c r="D7">
        <v>293676.93</v>
      </c>
      <c r="E7">
        <v>12</v>
      </c>
      <c r="F7">
        <v>6</v>
      </c>
      <c r="G7" s="1">
        <v>46000</v>
      </c>
      <c r="H7" s="2">
        <f>D7/G7</f>
        <v>6.3842810869565216</v>
      </c>
      <c r="I7" s="3">
        <f t="shared" si="0"/>
        <v>4.9413043478260872E-2</v>
      </c>
    </row>
    <row r="8" spans="1:9">
      <c r="A8">
        <v>834</v>
      </c>
      <c r="B8" t="s">
        <v>15</v>
      </c>
      <c r="C8">
        <v>2277</v>
      </c>
      <c r="D8">
        <v>311056.42</v>
      </c>
      <c r="E8">
        <v>5</v>
      </c>
      <c r="F8">
        <v>7</v>
      </c>
      <c r="G8" s="1">
        <v>55000</v>
      </c>
      <c r="H8" s="2">
        <f>D8/G8</f>
        <v>5.655571272727272</v>
      </c>
      <c r="I8" s="3">
        <f t="shared" si="0"/>
        <v>4.1399999999999999E-2</v>
      </c>
    </row>
    <row r="9" spans="1:9">
      <c r="A9">
        <v>830</v>
      </c>
      <c r="B9" t="s">
        <v>16</v>
      </c>
      <c r="C9">
        <v>2250</v>
      </c>
      <c r="D9">
        <v>316775.48</v>
      </c>
      <c r="E9">
        <v>3</v>
      </c>
      <c r="F9">
        <v>8</v>
      </c>
      <c r="G9" s="1">
        <v>60000</v>
      </c>
      <c r="H9" s="2">
        <f>D9/G9</f>
        <v>5.2795913333333333</v>
      </c>
      <c r="I9" s="3">
        <f t="shared" si="0"/>
        <v>3.7499999999999999E-2</v>
      </c>
    </row>
    <row r="10" spans="1:9">
      <c r="A10">
        <v>839</v>
      </c>
      <c r="B10" t="s">
        <v>17</v>
      </c>
      <c r="C10">
        <v>2209</v>
      </c>
      <c r="D10">
        <v>306326.3</v>
      </c>
      <c r="E10">
        <v>7</v>
      </c>
      <c r="F10">
        <v>9</v>
      </c>
      <c r="G10" s="1">
        <v>60000</v>
      </c>
      <c r="H10" s="2">
        <f>D10/G10</f>
        <v>5.1054383333333329</v>
      </c>
      <c r="I10" s="3">
        <f t="shared" si="0"/>
        <v>3.6816666666666664E-2</v>
      </c>
    </row>
    <row r="11" spans="1:9">
      <c r="A11">
        <v>828</v>
      </c>
      <c r="B11" t="s">
        <v>18</v>
      </c>
      <c r="C11">
        <v>2198</v>
      </c>
      <c r="D11">
        <v>299936.24</v>
      </c>
      <c r="E11">
        <v>10</v>
      </c>
      <c r="F11">
        <v>10</v>
      </c>
      <c r="G11" s="1">
        <v>69000</v>
      </c>
      <c r="H11" s="2">
        <f>D11/G11</f>
        <v>4.3469020289855074</v>
      </c>
      <c r="I11" s="3">
        <f t="shared" si="0"/>
        <v>3.1855072463768119E-2</v>
      </c>
    </row>
    <row r="12" spans="1:9">
      <c r="A12">
        <v>836</v>
      </c>
      <c r="B12" t="s">
        <v>19</v>
      </c>
      <c r="C12">
        <v>2163</v>
      </c>
      <c r="D12">
        <v>300358.95</v>
      </c>
      <c r="E12">
        <v>9</v>
      </c>
      <c r="F12">
        <v>11</v>
      </c>
      <c r="G12" s="1">
        <v>70000</v>
      </c>
      <c r="H12" s="2">
        <f>D12/G12</f>
        <v>4.2908421428571426</v>
      </c>
      <c r="I12" s="3">
        <f t="shared" si="0"/>
        <v>3.09E-2</v>
      </c>
    </row>
    <row r="13" spans="1:9">
      <c r="A13">
        <v>825</v>
      </c>
      <c r="B13" t="s">
        <v>20</v>
      </c>
      <c r="C13">
        <v>2225</v>
      </c>
      <c r="D13">
        <v>292353.59000000003</v>
      </c>
      <c r="E13">
        <v>13</v>
      </c>
      <c r="F13">
        <v>12</v>
      </c>
      <c r="G13" s="1">
        <v>70000</v>
      </c>
      <c r="H13" s="2">
        <f>D13/G13</f>
        <v>4.1764798571428576</v>
      </c>
      <c r="I13" s="3">
        <f t="shared" si="0"/>
        <v>3.1785714285714285E-2</v>
      </c>
    </row>
    <row r="14" spans="1:9">
      <c r="A14">
        <v>827</v>
      </c>
      <c r="B14" t="s">
        <v>21</v>
      </c>
      <c r="C14">
        <v>2327</v>
      </c>
      <c r="D14">
        <v>301703.77</v>
      </c>
      <c r="E14">
        <v>8</v>
      </c>
      <c r="F14">
        <v>13</v>
      </c>
      <c r="G14" s="1">
        <v>89000</v>
      </c>
      <c r="H14" s="2">
        <f>D14/G14</f>
        <v>3.3899300000000001</v>
      </c>
      <c r="I14" s="3">
        <f t="shared" si="0"/>
        <v>2.6146067415730338E-2</v>
      </c>
    </row>
    <row r="15" spans="1:9">
      <c r="A15">
        <v>835</v>
      </c>
      <c r="B15" t="s">
        <v>22</v>
      </c>
      <c r="C15">
        <v>4443</v>
      </c>
      <c r="D15">
        <v>623163.53</v>
      </c>
      <c r="E15">
        <v>1</v>
      </c>
      <c r="F15">
        <v>14</v>
      </c>
      <c r="G15" s="1">
        <v>310000</v>
      </c>
      <c r="H15" s="2">
        <f>D15/G15</f>
        <v>2.0102049354838711</v>
      </c>
      <c r="I15" s="3">
        <f t="shared" si="0"/>
        <v>1.4332258064516129E-2</v>
      </c>
    </row>
    <row r="16" spans="1:9">
      <c r="A16">
        <v>831</v>
      </c>
      <c r="B16" t="s">
        <v>23</v>
      </c>
      <c r="C16">
        <v>2229</v>
      </c>
      <c r="D16">
        <v>296244.33</v>
      </c>
      <c r="E16">
        <v>11</v>
      </c>
      <c r="F16">
        <v>15</v>
      </c>
      <c r="G16" s="1">
        <v>292000</v>
      </c>
      <c r="H16" s="2">
        <f>D16/G16</f>
        <v>1.0145353767123289</v>
      </c>
      <c r="I16" s="3">
        <f t="shared" si="0"/>
        <v>7.6335616438356164E-3</v>
      </c>
    </row>
    <row r="17" spans="1:9">
      <c r="A17">
        <v>837</v>
      </c>
      <c r="B17" t="s">
        <v>24</v>
      </c>
      <c r="C17">
        <v>427</v>
      </c>
      <c r="D17">
        <v>67112.570000000007</v>
      </c>
      <c r="E17">
        <v>16</v>
      </c>
      <c r="F17">
        <v>16</v>
      </c>
      <c r="G17" s="1">
        <v>159000</v>
      </c>
      <c r="H17" s="2">
        <f>D17/G17</f>
        <v>0.42209163522012583</v>
      </c>
      <c r="I17" s="3">
        <f t="shared" si="0"/>
        <v>2.6855345911949687E-3</v>
      </c>
    </row>
    <row r="18" spans="1:9">
      <c r="I18" s="3"/>
    </row>
  </sheetData>
  <autoFilter ref="A1:I17" xr:uid="{2B2458E7-51C7-4889-8CED-D035EE4F9B7B}">
    <sortState xmlns:xlrd2="http://schemas.microsoft.com/office/spreadsheetml/2017/richdata2" ref="A2:I17">
      <sortCondition descending="1" ref="H1:H17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4645-E0A8-4C75-84C1-688597902A84}">
  <dimension ref="A1:I7"/>
  <sheetViews>
    <sheetView tabSelected="1" workbookViewId="0">
      <selection activeCell="H1" sqref="H1:H7"/>
    </sheetView>
  </sheetViews>
  <sheetFormatPr defaultRowHeight="15"/>
  <cols>
    <col min="1" max="1" width="8.28515625" bestFit="1" customWidth="1"/>
    <col min="2" max="2" width="11.7109375" bestFit="1" customWidth="1"/>
    <col min="3" max="3" width="16.42578125" bestFit="1" customWidth="1"/>
    <col min="4" max="4" width="10.42578125" bestFit="1" customWidth="1"/>
    <col min="5" max="5" width="9.7109375" bestFit="1" customWidth="1"/>
    <col min="6" max="6" width="12.42578125" bestFit="1" customWidth="1"/>
    <col min="7" max="7" width="10.5703125" bestFit="1" customWidth="1"/>
    <col min="8" max="8" width="7.7109375" bestFit="1" customWidth="1"/>
    <col min="9" max="9" width="18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826</v>
      </c>
      <c r="B2" t="s">
        <v>9</v>
      </c>
      <c r="C2">
        <v>2252</v>
      </c>
      <c r="D2">
        <v>285704.59000000003</v>
      </c>
      <c r="E2">
        <v>14</v>
      </c>
      <c r="F2">
        <v>1</v>
      </c>
      <c r="G2" s="1">
        <v>2700</v>
      </c>
      <c r="H2" s="2">
        <f>D2/G2</f>
        <v>105.81651481481482</v>
      </c>
      <c r="I2" s="3">
        <f>C2/G2</f>
        <v>0.83407407407407408</v>
      </c>
    </row>
    <row r="3" spans="1:9">
      <c r="A3">
        <v>833</v>
      </c>
      <c r="B3" t="s">
        <v>10</v>
      </c>
      <c r="C3">
        <v>2258</v>
      </c>
      <c r="D3">
        <v>307320.52</v>
      </c>
      <c r="E3">
        <v>6</v>
      </c>
      <c r="F3">
        <v>2</v>
      </c>
      <c r="G3" s="1">
        <v>20000</v>
      </c>
      <c r="H3" s="2">
        <f>D3/G3</f>
        <v>15.366026000000002</v>
      </c>
      <c r="I3" s="3">
        <f t="shared" ref="I3:I7" si="0">C3/G3</f>
        <v>0.1129</v>
      </c>
    </row>
    <row r="4" spans="1:9">
      <c r="A4">
        <v>824</v>
      </c>
      <c r="B4" t="s">
        <v>11</v>
      </c>
      <c r="C4">
        <v>2252</v>
      </c>
      <c r="D4">
        <v>314513.77</v>
      </c>
      <c r="E4">
        <v>4</v>
      </c>
      <c r="F4">
        <v>3</v>
      </c>
      <c r="G4" s="1">
        <v>38000</v>
      </c>
      <c r="H4" s="2">
        <f>D4/G4</f>
        <v>8.2766781578947377</v>
      </c>
      <c r="I4" s="3">
        <f t="shared" si="0"/>
        <v>5.9263157894736844E-2</v>
      </c>
    </row>
    <row r="5" spans="1:9">
      <c r="A5">
        <v>835</v>
      </c>
      <c r="B5" t="s">
        <v>22</v>
      </c>
      <c r="C5">
        <v>4443</v>
      </c>
      <c r="D5">
        <v>623163.53</v>
      </c>
      <c r="E5">
        <v>1</v>
      </c>
      <c r="F5">
        <v>14</v>
      </c>
      <c r="G5" s="1">
        <v>310000</v>
      </c>
      <c r="H5" s="2">
        <f>D5/G5</f>
        <v>2.0102049354838711</v>
      </c>
      <c r="I5" s="3">
        <f t="shared" si="0"/>
        <v>1.4332258064516129E-2</v>
      </c>
    </row>
    <row r="6" spans="1:9">
      <c r="A6">
        <v>831</v>
      </c>
      <c r="B6" t="s">
        <v>23</v>
      </c>
      <c r="C6">
        <v>2229</v>
      </c>
      <c r="D6">
        <v>296244.33</v>
      </c>
      <c r="E6">
        <v>11</v>
      </c>
      <c r="F6">
        <v>15</v>
      </c>
      <c r="G6" s="1">
        <v>292000</v>
      </c>
      <c r="H6" s="2">
        <f>D6/G6</f>
        <v>1.0145353767123289</v>
      </c>
      <c r="I6" s="3">
        <f t="shared" si="0"/>
        <v>7.6335616438356164E-3</v>
      </c>
    </row>
    <row r="7" spans="1:9">
      <c r="A7">
        <v>837</v>
      </c>
      <c r="B7" t="s">
        <v>24</v>
      </c>
      <c r="C7">
        <v>427</v>
      </c>
      <c r="D7">
        <v>67112.570000000007</v>
      </c>
      <c r="E7">
        <v>16</v>
      </c>
      <c r="F7">
        <v>16</v>
      </c>
      <c r="G7" s="1">
        <v>159000</v>
      </c>
      <c r="H7" s="2">
        <f>D7/G7</f>
        <v>0.42209163522012583</v>
      </c>
      <c r="I7" s="3">
        <f t="shared" si="0"/>
        <v>2.6855345911949687E-3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2026-04-30T17:14:53Z</dcterms:created>
  <dcterms:modified xsi:type="dcterms:W3CDTF">2026-05-01T03:46:40Z</dcterms:modified>
  <cp:category/>
  <cp:contentStatus/>
</cp:coreProperties>
</file>